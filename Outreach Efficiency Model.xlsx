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ifhasan/Downloads/"/>
    </mc:Choice>
  </mc:AlternateContent>
  <xr:revisionPtr revIDLastSave="0" documentId="13_ncr:1_{D8BFAC50-88EC-4544-8D7E-7ABEBB136BE9}" xr6:coauthVersionLast="47" xr6:coauthVersionMax="47" xr10:uidLastSave="{00000000-0000-0000-0000-000000000000}"/>
  <bookViews>
    <workbookView xWindow="13980" yWindow="660" windowWidth="15420" windowHeight="16420" xr2:uid="{29C5C11A-0B15-444B-AB37-9F248EE697E5}"/>
  </bookViews>
  <sheets>
    <sheet name="Sheet1" sheetId="1" r:id="rId1"/>
  </sheets>
  <definedNames>
    <definedName name="solver_adj" localSheetId="0" hidden="1">Sheet1!$D$8:$D$11</definedName>
    <definedName name="solver_eng" localSheetId="0" hidden="1">0</definedName>
    <definedName name="solver_lhs1" localSheetId="0" hidden="1">Sheet1!$D$8:$D$11</definedName>
    <definedName name="solver_lhs10" localSheetId="0" hidden="1">Sheet1!$D$12</definedName>
    <definedName name="solver_lhs11" localSheetId="0" hidden="1">Sheet1!$D$12</definedName>
    <definedName name="solver_lhs12" localSheetId="0" hidden="1">Sheet1!$D$12</definedName>
    <definedName name="solver_lhs13" localSheetId="0" hidden="1">Sheet1!$D$12</definedName>
    <definedName name="solver_lhs14" localSheetId="0" hidden="1">Sheet1!$D$12</definedName>
    <definedName name="solver_lhs15" localSheetId="0" hidden="1">Sheet1!$D$12</definedName>
    <definedName name="solver_lhs2" localSheetId="0" hidden="1">Sheet1!$D$8</definedName>
    <definedName name="solver_lhs3" localSheetId="0" hidden="1">Sheet1!$D$9</definedName>
    <definedName name="solver_lhs4" localSheetId="0" hidden="1">Sheet1!$D$10</definedName>
    <definedName name="solver_lhs5" localSheetId="0" hidden="1">Sheet1!$D$11</definedName>
    <definedName name="solver_lhs6" localSheetId="0" hidden="1">Sheet1!$D$12</definedName>
    <definedName name="solver_lhs7" localSheetId="0" hidden="1">Sheet1!$D$12</definedName>
    <definedName name="solver_lhs8" localSheetId="0" hidden="1">Sheet1!$D$12</definedName>
    <definedName name="solver_lhs9" localSheetId="0" hidden="1">Sheet1!$D$12</definedName>
    <definedName name="solver_num" localSheetId="0" hidden="1">6</definedName>
    <definedName name="solver_opt" localSheetId="0" hidden="1">Sheet1!$E$12</definedName>
    <definedName name="solver_rel1" localSheetId="0" hidden="1">3</definedName>
    <definedName name="solver_rel10" localSheetId="0" hidden="1">1</definedName>
    <definedName name="solver_rel11" localSheetId="0" hidden="1">1</definedName>
    <definedName name="solver_rel12" localSheetId="0" hidden="1">1</definedName>
    <definedName name="solver_rel13" localSheetId="0" hidden="1">1</definedName>
    <definedName name="solver_rel14" localSheetId="0" hidden="1">1</definedName>
    <definedName name="solver_rel15" localSheetId="0" hidden="1">1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el6" localSheetId="0" hidden="1">1</definedName>
    <definedName name="solver_rel7" localSheetId="0" hidden="1">1</definedName>
    <definedName name="solver_rel8" localSheetId="0" hidden="1">1</definedName>
    <definedName name="solver_rel9" localSheetId="0" hidden="1">1</definedName>
    <definedName name="solver_rhs1" localSheetId="0" hidden="1">0</definedName>
    <definedName name="solver_rhs10" localSheetId="0" hidden="1">80</definedName>
    <definedName name="solver_rhs11" localSheetId="0" hidden="1">80</definedName>
    <definedName name="solver_rhs12" localSheetId="0" hidden="1">80</definedName>
    <definedName name="solver_rhs13" localSheetId="0" hidden="1">80</definedName>
    <definedName name="solver_rhs14" localSheetId="0" hidden="1">80</definedName>
    <definedName name="solver_rhs15" localSheetId="0" hidden="1">80</definedName>
    <definedName name="solver_rhs2" localSheetId="0" hidden="1">Sheet1!$C$8</definedName>
    <definedName name="solver_rhs3" localSheetId="0" hidden="1">Sheet1!$C$9</definedName>
    <definedName name="solver_rhs4" localSheetId="0" hidden="1">Sheet1!$C$10</definedName>
    <definedName name="solver_rhs5" localSheetId="0" hidden="1">Sheet1!$C$11</definedName>
    <definedName name="solver_rhs6" localSheetId="0" hidden="1">80</definedName>
    <definedName name="solver_rhs7" localSheetId="0" hidden="1">80</definedName>
    <definedName name="solver_rhs8" localSheetId="0" hidden="1">80</definedName>
    <definedName name="solver_rhs9" localSheetId="0" hidden="1">80</definedName>
    <definedName name="solver_rxc1" localSheetId="0" hidden="1">1</definedName>
    <definedName name="solver_rxc10" localSheetId="0" hidden="1">1</definedName>
    <definedName name="solver_rxc11" localSheetId="0" hidden="1">1</definedName>
    <definedName name="solver_rxc12" localSheetId="0" hidden="1">1</definedName>
    <definedName name="solver_rxc13" localSheetId="0" hidden="1">1</definedName>
    <definedName name="solver_rxc14" localSheetId="0" hidden="1">1</definedName>
    <definedName name="solver_rxc15" localSheetId="0" hidden="1">1</definedName>
    <definedName name="solver_rxc2" localSheetId="0" hidden="1">1</definedName>
    <definedName name="solver_rxc3" localSheetId="0" hidden="1">1</definedName>
    <definedName name="solver_rxc4" localSheetId="0" hidden="1">1</definedName>
    <definedName name="solver_rxc5" localSheetId="0" hidden="1">1</definedName>
    <definedName name="solver_rxc6" localSheetId="0" hidden="1">1</definedName>
    <definedName name="solver_rxc8" localSheetId="0" hidden="1">1</definedName>
    <definedName name="solver_rxc9" localSheetId="0" hidden="1">1</definedName>
    <definedName name="solver_rxv" localSheetId="0" hidden="1">1</definedName>
    <definedName name="solver_typ" localSheetId="0" hidden="1">1</definedName>
    <definedName name="solver_val" localSheetId="0" hidden="1">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E12" i="1"/>
  <c r="E9" i="1"/>
  <c r="E10" i="1"/>
  <c r="E11" i="1"/>
  <c r="E8" i="1"/>
  <c r="E2" i="1"/>
  <c r="E3" i="1"/>
  <c r="E4" i="1"/>
  <c r="E5" i="1"/>
</calcChain>
</file>

<file path=xl/sharedStrings.xml><?xml version="1.0" encoding="utf-8"?>
<sst xmlns="http://schemas.openxmlformats.org/spreadsheetml/2006/main" count="18" uniqueCount="13">
  <si>
    <t>Channel</t>
  </si>
  <si>
    <t>Volunteer-hours (per shift)</t>
  </si>
  <si>
    <t>Contacts attempted (per shift)</t>
  </si>
  <si>
    <t>New signups (per shift)</t>
  </si>
  <si>
    <t>Phone banking</t>
  </si>
  <si>
    <t>Door-to-door</t>
  </si>
  <si>
    <t>Public high-traffic canvassing</t>
  </si>
  <si>
    <t>Campus high-traffic canvassing</t>
  </si>
  <si>
    <t>Signups per Hour</t>
  </si>
  <si>
    <t>Signups/hour</t>
  </si>
  <si>
    <t>Max feasible hours/week</t>
  </si>
  <si>
    <t>Allocated hours</t>
  </si>
  <si>
    <t>Signups from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</si>
</sst>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F068AF5-2DB2-4B40-9B26-4934817E46E6}">
  <we:reference id="1e10eb66-9ba2-46e3-84ee-57e2a49831f0" version="3.0.0.1" store="EXCatalog" storeType="EXCatalog"/>
  <we:alternateReferences>
    <we:reference id="WA104100404" version="3.0.0.1" store="en-US" storeType="OMEX"/>
  </we:alternateReferences>
  <we:properties>
    <we:property name="UniqueID" value="&quot;202686178873575229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9AFCF-D397-7340-840A-110316AEE11B}">
  <dimension ref="A1:E15"/>
  <sheetViews>
    <sheetView tabSelected="1" topLeftCell="B1" zoomScaleNormal="100" workbookViewId="0">
      <selection activeCell="D8" sqref="D8:D11"/>
    </sheetView>
  </sheetViews>
  <sheetFormatPr baseColWidth="10" defaultRowHeight="16" x14ac:dyDescent="0.2"/>
  <cols>
    <col min="1" max="1" width="26.6640625" bestFit="1" customWidth="1"/>
    <col min="2" max="2" width="22.6640625" bestFit="1" customWidth="1"/>
    <col min="3" max="3" width="26" bestFit="1" customWidth="1"/>
    <col min="4" max="4" width="19.5" bestFit="1" customWidth="1"/>
    <col min="5" max="5" width="20.8320312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x14ac:dyDescent="0.2">
      <c r="A2" t="s">
        <v>5</v>
      </c>
      <c r="B2">
        <v>3</v>
      </c>
      <c r="C2">
        <v>80</v>
      </c>
      <c r="D2">
        <v>5</v>
      </c>
      <c r="E2" s="2">
        <f>D2/B2</f>
        <v>1.6666666666666667</v>
      </c>
    </row>
    <row r="3" spans="1:5" x14ac:dyDescent="0.2">
      <c r="A3" t="s">
        <v>4</v>
      </c>
      <c r="B3">
        <v>2</v>
      </c>
      <c r="C3">
        <v>100</v>
      </c>
      <c r="D3">
        <v>3</v>
      </c>
      <c r="E3" s="2">
        <f t="shared" ref="E3:E5" si="0">D3/B3</f>
        <v>1.5</v>
      </c>
    </row>
    <row r="4" spans="1:5" x14ac:dyDescent="0.2">
      <c r="A4" t="s">
        <v>6</v>
      </c>
      <c r="B4">
        <v>2</v>
      </c>
      <c r="C4">
        <v>100</v>
      </c>
      <c r="D4">
        <v>10</v>
      </c>
      <c r="E4" s="2">
        <f t="shared" si="0"/>
        <v>5</v>
      </c>
    </row>
    <row r="5" spans="1:5" x14ac:dyDescent="0.2">
      <c r="A5" t="s">
        <v>7</v>
      </c>
      <c r="B5">
        <v>2</v>
      </c>
      <c r="C5">
        <v>120</v>
      </c>
      <c r="D5">
        <v>25</v>
      </c>
      <c r="E5" s="2">
        <f t="shared" si="0"/>
        <v>12.5</v>
      </c>
    </row>
    <row r="7" spans="1:5" s="1" customFormat="1" x14ac:dyDescent="0.2">
      <c r="A7" s="1" t="s">
        <v>0</v>
      </c>
      <c r="B7" s="1" t="s">
        <v>9</v>
      </c>
      <c r="C7" s="1" t="s">
        <v>10</v>
      </c>
      <c r="D7" s="1" t="s">
        <v>11</v>
      </c>
      <c r="E7" s="1" t="s">
        <v>12</v>
      </c>
    </row>
    <row r="8" spans="1:5" x14ac:dyDescent="0.2">
      <c r="A8" t="s">
        <v>7</v>
      </c>
      <c r="B8" s="2">
        <v>12.5</v>
      </c>
      <c r="C8">
        <v>20</v>
      </c>
      <c r="D8">
        <v>20</v>
      </c>
      <c r="E8">
        <f>D8*B8</f>
        <v>250</v>
      </c>
    </row>
    <row r="9" spans="1:5" x14ac:dyDescent="0.2">
      <c r="A9" t="s">
        <v>6</v>
      </c>
      <c r="B9" s="2">
        <v>5</v>
      </c>
      <c r="C9">
        <v>20</v>
      </c>
      <c r="D9">
        <v>20</v>
      </c>
      <c r="E9">
        <f t="shared" ref="E9:E11" si="1">D9*B9</f>
        <v>100</v>
      </c>
    </row>
    <row r="10" spans="1:5" x14ac:dyDescent="0.2">
      <c r="A10" t="s">
        <v>5</v>
      </c>
      <c r="B10" s="2">
        <v>1.67</v>
      </c>
      <c r="C10">
        <v>90</v>
      </c>
      <c r="D10">
        <v>40</v>
      </c>
      <c r="E10">
        <f t="shared" si="1"/>
        <v>66.8</v>
      </c>
    </row>
    <row r="11" spans="1:5" ht="17" thickBot="1" x14ac:dyDescent="0.25">
      <c r="A11" t="s">
        <v>4</v>
      </c>
      <c r="B11" s="2">
        <v>1.5</v>
      </c>
      <c r="C11">
        <v>32</v>
      </c>
      <c r="D11">
        <v>0</v>
      </c>
      <c r="E11">
        <f t="shared" si="1"/>
        <v>0</v>
      </c>
    </row>
    <row r="12" spans="1:5" ht="17" thickBot="1" x14ac:dyDescent="0.25">
      <c r="D12" s="4">
        <f>SUM(D8:D11)</f>
        <v>80</v>
      </c>
      <c r="E12" s="3">
        <f>ROUND((SUM(E8:E11)),0)</f>
        <v>417</v>
      </c>
    </row>
    <row r="13" spans="1:5" x14ac:dyDescent="0.2">
      <c r="B13" s="2"/>
    </row>
    <row r="15" spans="1:5" x14ac:dyDescent="0.2">
      <c r="B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Hasan, Saif A</dc:creator>
  <cp:lastModifiedBy>Hasan, Saif A</cp:lastModifiedBy>
  <dcterms:created xsi:type="dcterms:W3CDTF">2026-09-06T22:35:40Z</dcterms:created>
  <dcterms:modified xsi:type="dcterms:W3CDTF">2026-09-06T23:15:03Z</dcterms:modified>
</cp:coreProperties>
</file>